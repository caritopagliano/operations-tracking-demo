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Case Tracking Matrix" sheetId="2" state="visible" r:id="rId2"/>
    <sheet xmlns:r="http://schemas.openxmlformats.org/officeDocument/2006/relationships" name="Inbound Diplomatic Pouch" sheetId="3" state="visible" r:id="rId3"/>
    <sheet xmlns:r="http://schemas.openxmlformats.org/officeDocument/2006/relationships" name="Counter Delivery Batc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name val="Segoe UI"/>
      <b val="1"/>
      <color rgb="001E3A8A"/>
      <sz val="13"/>
    </font>
    <font>
      <name val="Segoe UI"/>
      <b val="1"/>
      <color rgb="00FFFFFF"/>
      <sz val="10"/>
    </font>
    <font>
      <name val="Segoe UI"/>
      <sz val="9.5"/>
    </font>
    <font>
      <name val="Segoe UI"/>
      <b val="1"/>
      <color rgb="001E3A8A"/>
      <sz val="12"/>
    </font>
    <font>
      <name val="Segoe UI"/>
      <b val="1"/>
      <color rgb="001E3A8A"/>
      <sz val="14"/>
    </font>
    <font>
      <name val="Segoe UI"/>
      <i val="1"/>
      <color rgb="00475569"/>
      <sz val="10"/>
    </font>
    <font>
      <name val="Segoe UI"/>
      <b val="1"/>
      <sz val="9.5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2" borderId="0" applyAlignment="1" pivotButton="0" quotePrefix="0" xfId="0">
      <alignment horizontal="center"/>
    </xf>
    <xf numFmtId="0" fontId="7" fillId="0" borderId="1" pivotButton="0" quotePrefix="0" xfId="0"/>
    <xf numFmtId="0" fontId="0" fillId="0" borderId="1" applyAlignment="1" pivotButton="0" quotePrefix="0" xfId="0">
      <alignment horizontal="center"/>
    </xf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164" fontId="3" fillId="0" borderId="1" pivotButton="0" quotePrefix="0" xfId="0"/>
    <xf numFmtId="0" fontId="3" fillId="0" borderId="1" pivotButton="0" quotePrefix="0" xfId="0"/>
    <xf numFmtId="0" fontId="4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selection activeCell="A1" sqref="A1"/>
    </sheetView>
  </sheetViews>
  <sheetFormatPr baseColWidth="8" defaultRowHeight="15"/>
  <cols>
    <col width="91" customWidth="1" min="1" max="1"/>
    <col width="61" customWidth="1" min="2" max="2"/>
    <col width="61" customWidth="1" min="3" max="3"/>
    <col width="18" customWidth="1" min="4" max="4"/>
  </cols>
  <sheetData>
    <row r="1">
      <c r="A1" s="1" t="inlineStr">
        <is>
          <t>CONSULAR OPERATIONS DASHBOARD (EXECUTIVE KPI SUMMARY)</t>
        </is>
      </c>
    </row>
    <row r="2">
      <c r="A2" s="2" t="inlineStr">
        <is>
          <t>Real-time pipeline monitoring: Inbound pouch verification, desk stock &amp; counter handover</t>
        </is>
      </c>
    </row>
    <row r="3"/>
    <row r="4">
      <c r="A4" s="3" t="inlineStr">
        <is>
          <t>Lifecycle &amp; Inventory Metric</t>
        </is>
      </c>
      <c r="B4" s="3" t="inlineStr">
        <is>
          <t>ID Cards</t>
        </is>
      </c>
      <c r="C4" s="3" t="inlineStr">
        <is>
          <t>Passports</t>
        </is>
      </c>
      <c r="D4" s="3" t="inlineStr">
        <is>
          <t>Total Documents</t>
        </is>
      </c>
    </row>
    <row r="5">
      <c r="A5" s="4" t="inlineStr">
        <is>
          <t>Total Registered Case Documents</t>
        </is>
      </c>
      <c r="B5" s="5">
        <f>COUNTIF('Case Tracking Matrix'!F5:F50, "YES")</f>
        <v/>
      </c>
      <c r="C5" s="5">
        <f>COUNTIF('Case Tracking Matrix'!G5:G50, "YES")</f>
        <v/>
      </c>
      <c r="D5" s="5">
        <f>B5+C5</f>
        <v/>
      </c>
    </row>
    <row r="6">
      <c r="A6" s="4" t="inlineStr">
        <is>
          <t>Received via Diplomatic Pouch</t>
        </is>
      </c>
      <c r="B6" s="5">
        <f>COUNT('Case Tracking Matrix'!I5:I50)</f>
        <v/>
      </c>
      <c r="C6" s="5">
        <f>COUNT('Case Tracking Matrix'!M5:M50)</f>
        <v/>
      </c>
      <c r="D6" s="5">
        <f>B6+C6</f>
        <v/>
      </c>
    </row>
    <row r="7">
      <c r="A7" s="4" t="inlineStr">
        <is>
          <t>Available at Desk (Awaiting Collection)</t>
        </is>
      </c>
      <c r="B7" s="5">
        <f>COUNTIF('Case Tracking Matrix'!L5:L50, "*READY AT DESK*")</f>
        <v/>
      </c>
      <c r="C7" s="5">
        <f>COUNTIF('Case Tracking Matrix'!P5:P50, "*READY AT DESK*")</f>
        <v/>
      </c>
      <c r="D7" s="5">
        <f>B7+C7</f>
        <v/>
      </c>
    </row>
    <row r="8">
      <c r="A8" s="4" t="inlineStr">
        <is>
          <t>Delivered &amp; Handed Over at Counter</t>
        </is>
      </c>
      <c r="B8" s="5">
        <f>COUNTIF('Case Tracking Matrix'!L5:L50, "*DELIVERED*")</f>
        <v/>
      </c>
      <c r="C8" s="5">
        <f>COUNTIF('Case Tracking Matrix'!P5:P50, "*DELIVERED*")</f>
        <v/>
      </c>
      <c r="D8" s="5">
        <f>B8+C8</f>
        <v/>
      </c>
    </row>
    <row r="9">
      <c r="A9" s="4" t="inlineStr">
        <is>
          <t>SLA Standard (&lt;=40 days in transit)</t>
        </is>
      </c>
      <c r="B9" s="5">
        <f>COUNTIF('Case Tracking Matrix'!L5:L50, "*ON TRACK*")</f>
        <v/>
      </c>
      <c r="C9" s="5">
        <f>COUNTIF('Case Tracking Matrix'!P5:P50, "*ON TRACK*")</f>
        <v/>
      </c>
      <c r="D9" s="5">
        <f>B9+C9</f>
        <v/>
      </c>
    </row>
    <row r="10">
      <c r="A10" s="4" t="inlineStr">
        <is>
          <t>SLA Warning (41 to 60 days)</t>
        </is>
      </c>
      <c r="B10" s="5">
        <f>COUNTIF('Case Tracking Matrix'!L5:L50, "*WARNING*")</f>
        <v/>
      </c>
      <c r="C10" s="5">
        <f>COUNTIF('Case Tracking Matrix'!P5:P50, "*WARNING*")</f>
        <v/>
      </c>
      <c r="D10" s="5">
        <f>B10+C10</f>
        <v/>
      </c>
    </row>
    <row r="11">
      <c r="A11" s="4" t="inlineStr">
        <is>
          <t>SLA Breach (&gt;60 days delayed - Escalate)</t>
        </is>
      </c>
      <c r="B11" s="5">
        <f>COUNTIF('Case Tracking Matrix'!L5:L50, "*ESCALATE*")</f>
        <v/>
      </c>
      <c r="C11" s="5">
        <f>COUNTIF('Case Tracking Matrix'!P5:P50, "*ESCALATE*")</f>
        <v/>
      </c>
      <c r="D11" s="5">
        <f>B11+C11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showGridLines="1" workbookViewId="0">
      <selection activeCell="A1" sqref="A1"/>
    </sheetView>
  </sheetViews>
  <sheetFormatPr baseColWidth="8" defaultRowHeight="15"/>
  <cols>
    <col width="57" customWidth="1" min="1" max="1"/>
    <col width="12" customWidth="1" min="2" max="2"/>
    <col width="15" customWidth="1" min="3" max="3"/>
    <col width="18" customWidth="1" min="4" max="4"/>
    <col width="27" customWidth="1" min="5" max="5"/>
    <col width="15" customWidth="1" min="6" max="6"/>
    <col width="21" customWidth="1" min="7" max="7"/>
    <col width="28" customWidth="1" min="8" max="8"/>
    <col width="95" customWidth="1" min="9" max="9"/>
    <col width="95" customWidth="1" min="10" max="10"/>
    <col width="93" customWidth="1" min="11" max="11"/>
    <col width="180" customWidth="1" min="12" max="12"/>
    <col width="95" customWidth="1" min="13" max="13"/>
    <col width="95" customWidth="1" min="14" max="14"/>
    <col width="93" customWidth="1" min="15" max="15"/>
    <col width="180" customWidth="1" min="16" max="16"/>
    <col width="375" customWidth="1" min="17" max="17"/>
  </cols>
  <sheetData>
    <row r="1">
      <c r="A1" s="6" t="inlineStr">
        <is>
          <t>OPERATIONS HUB: END-TO-END CASE TRACKING MATRIX (DEMO)</t>
        </is>
      </c>
    </row>
    <row r="2"/>
    <row r="3"/>
    <row r="4">
      <c r="A4" s="7" t="inlineStr">
        <is>
          <t>Intake Date</t>
        </is>
      </c>
      <c r="B4" s="7" t="inlineStr">
        <is>
          <t>Case ID</t>
        </is>
      </c>
      <c r="C4" s="7" t="inlineStr">
        <is>
          <t>Applicant ID</t>
        </is>
      </c>
      <c r="D4" s="7" t="inlineStr">
        <is>
          <t>Full Legal Name</t>
        </is>
      </c>
      <c r="E4" s="7" t="inlineStr">
        <is>
          <t>Service Stream</t>
        </is>
      </c>
      <c r="F4" s="7" t="inlineStr">
        <is>
          <t>Requires ID?</t>
        </is>
      </c>
      <c r="G4" s="7" t="inlineStr">
        <is>
          <t>Requires Passport?</t>
        </is>
      </c>
      <c r="H4" s="7" t="inlineStr">
        <is>
          <t>Contact Email</t>
        </is>
      </c>
      <c r="I4" s="7" t="inlineStr">
        <is>
          <t>ID Receipt Date</t>
        </is>
      </c>
      <c r="J4" s="7" t="inlineStr">
        <is>
          <t>ID Batch Ref</t>
        </is>
      </c>
      <c r="K4" s="7" t="inlineStr">
        <is>
          <t>ID Handover Date</t>
        </is>
      </c>
      <c r="L4" s="7" t="inlineStr">
        <is>
          <t>ID Status</t>
        </is>
      </c>
      <c r="M4" s="7" t="inlineStr">
        <is>
          <t>Passport Receipt Date</t>
        </is>
      </c>
      <c r="N4" s="7" t="inlineStr">
        <is>
          <t>Passport Batch Ref</t>
        </is>
      </c>
      <c r="O4" s="7" t="inlineStr">
        <is>
          <t>Passport Handover Date</t>
        </is>
      </c>
      <c r="P4" s="7" t="inlineStr">
        <is>
          <t>Passport Status</t>
        </is>
      </c>
      <c r="Q4" s="7" t="inlineStr">
        <is>
          <t>Global Lifecycle SLA</t>
        </is>
      </c>
    </row>
    <row r="5">
      <c r="A5" s="8" t="n">
        <v>46269</v>
      </c>
      <c r="B5" s="9" t="inlineStr">
        <is>
          <t>71004521</t>
        </is>
      </c>
      <c r="C5" s="9" t="inlineStr">
        <is>
          <t>29841022</t>
        </is>
      </c>
      <c r="D5" s="9" t="inlineStr">
        <is>
          <t>SMITH, JOHN</t>
        </is>
      </c>
      <c r="E5" s="9" t="inlineStr">
        <is>
          <t>ADULT PASSPORT RENEWAL</t>
        </is>
      </c>
      <c r="F5" s="9" t="inlineStr">
        <is>
          <t>NO</t>
        </is>
      </c>
      <c r="G5" s="9" t="inlineStr">
        <is>
          <t>YES</t>
        </is>
      </c>
      <c r="H5" s="9" t="inlineStr">
        <is>
          <t>j.smith@demo-email.co.uk</t>
        </is>
      </c>
      <c r="I5" s="9">
        <f>IF(A5="","",IF(F5="NO","-",IFERROR(VLOOKUP(B5,'Inbound Diplomatic Pouch'!A:B,2,FALSE),"")))</f>
        <v/>
      </c>
      <c r="J5" s="9">
        <f>IF(A5="","",IF(F5="NO","-",IFERROR(VLOOKUP(B5,'Inbound Diplomatic Pouch'!A:C,3,FALSE),"")))</f>
        <v/>
      </c>
      <c r="K5" s="9">
        <f>IF(A5="","",IF(F5="NO","-",IFERROR(VLOOKUP(B5,'Counter Delivery Batch'!A:B,2,FALSE),"")))</f>
        <v/>
      </c>
      <c r="L5" s="9">
        <f>IF(A5="","",IF(F5="NO","N/A",IF(K5&lt;&gt;"","DELIVERED",IF(I5&lt;&gt;"","READY AT DESK",IF((TODAY()-A5)&gt;60,"ESCALATE (&gt;60d)",IF((TODAY()-A5)&gt;40,"WARNING (41-60d)","ON TRACK (&lt;=40d)"))))))</f>
        <v/>
      </c>
      <c r="M5" s="9">
        <f>IF(A5="","",IF(G5="NO","-",IFERROR(VLOOKUP(B5,'Inbound Diplomatic Pouch'!E:F,2,FALSE),"")))</f>
        <v/>
      </c>
      <c r="N5" s="9">
        <f>IF(A5="","",IF(G5="NO","-",IFERROR(VLOOKUP(B5,'Inbound Diplomatic Pouch'!E:G,3,FALSE),"")))</f>
        <v/>
      </c>
      <c r="O5" s="9">
        <f>IF(A5="","",IF(G5="NO","-",IFERROR(VLOOKUP(B5,'Counter Delivery Batch'!D:E,2,FALSE),"")))</f>
        <v/>
      </c>
      <c r="P5" s="9">
        <f>IF(A5="","",IF(G5="NO","N/A",IF(O5&lt;&gt;"","DELIVERED",IF(M5&lt;&gt;"","READY AT DESK",IF((TODAY()-A5)&gt;60,"ESCALATE (&gt;60d)",IF((TODAY()-A5)&gt;40,"WARNING (41-60d)","ON TRACK (&lt;=40d)"))))))</f>
        <v/>
      </c>
      <c r="Q5" s="9">
        <f>IF(A5="","",IF(AND(OR(F5="NO",L5="DELIVERED"),OR(G5="NO",P5="DELIVERED")),"ARCHIVED / DELIVERED",IF(OR(ISNUMBER(SEARCH("ESCALATE",L5)),ISNUMBER(SEARCH("ESCALATE",P5))),"SLA BREACH - ESCALATE",IF(OR(L5="READY AT DESK",P5="READY AT DESK"),"READY FOR COLLECTION",IF(OR(ISNUMBER(SEARCH("WARNING",L5)),ISNUMBER(SEARCH("WARNING",P5))),"WARNING (41-60d)","ON TRACK (&lt;=40d)")))))</f>
        <v/>
      </c>
    </row>
    <row r="6">
      <c r="A6" s="8" t="n">
        <v>46239</v>
      </c>
      <c r="B6" s="9" t="inlineStr">
        <is>
          <t>71004522</t>
        </is>
      </c>
      <c r="C6" s="9" t="inlineStr">
        <is>
          <t>34119842</t>
        </is>
      </c>
      <c r="D6" s="9" t="inlineStr">
        <is>
          <t>BROWN, EMILY</t>
        </is>
      </c>
      <c r="E6" s="9" t="inlineStr">
        <is>
          <t>NATIONAL ID CARD RENEWAL</t>
        </is>
      </c>
      <c r="F6" s="9" t="inlineStr">
        <is>
          <t>YES</t>
        </is>
      </c>
      <c r="G6" s="9" t="inlineStr">
        <is>
          <t>NO</t>
        </is>
      </c>
      <c r="H6" s="9" t="inlineStr">
        <is>
          <t>e.brown@demo-email.co.uk</t>
        </is>
      </c>
      <c r="I6" s="9">
        <f>IF(A6="","",IF(F6="NO","-",IFERROR(VLOOKUP(B6,'Inbound Diplomatic Pouch'!A:B,2,FALSE),"")))</f>
        <v/>
      </c>
      <c r="J6" s="9">
        <f>IF(A6="","",IF(F6="NO","-",IFERROR(VLOOKUP(B6,'Inbound Diplomatic Pouch'!A:C,3,FALSE),"")))</f>
        <v/>
      </c>
      <c r="K6" s="9">
        <f>IF(A6="","",IF(F6="NO","-",IFERROR(VLOOKUP(B6,'Counter Delivery Batch'!A:B,2,FALSE),"")))</f>
        <v/>
      </c>
      <c r="L6" s="9">
        <f>IF(A6="","",IF(F6="NO","N/A",IF(K6&lt;&gt;"","DELIVERED",IF(I6&lt;&gt;"","READY AT DESK",IF((TODAY()-A6)&gt;60,"ESCALATE (&gt;60d)",IF((TODAY()-A6)&gt;40,"WARNING (41-60d)","ON TRACK (&lt;=40d)"))))))</f>
        <v/>
      </c>
      <c r="M6" s="9">
        <f>IF(A6="","",IF(G6="NO","-",IFERROR(VLOOKUP(B6,'Inbound Diplomatic Pouch'!E:F,2,FALSE),"")))</f>
        <v/>
      </c>
      <c r="N6" s="9">
        <f>IF(A6="","",IF(G6="NO","-",IFERROR(VLOOKUP(B6,'Inbound Diplomatic Pouch'!E:G,3,FALSE),"")))</f>
        <v/>
      </c>
      <c r="O6" s="9">
        <f>IF(A6="","",IF(G6="NO","-",IFERROR(VLOOKUP(B6,'Counter Delivery Batch'!D:E,2,FALSE),"")))</f>
        <v/>
      </c>
      <c r="P6" s="9">
        <f>IF(A6="","",IF(G6="NO","N/A",IF(O6&lt;&gt;"","DELIVERED",IF(M6&lt;&gt;"","READY AT DESK",IF((TODAY()-A6)&gt;60,"ESCALATE (&gt;60d)",IF((TODAY()-A6)&gt;40,"WARNING (41-60d)","ON TRACK (&lt;=40d)"))))))</f>
        <v/>
      </c>
      <c r="Q6" s="9">
        <f>IF(A6="","",IF(AND(OR(F6="NO",L6="DELIVERED"),OR(G6="NO",P6="DELIVERED")),"ARCHIVED / DELIVERED",IF(OR(ISNUMBER(SEARCH("ESCALATE",L6)),ISNUMBER(SEARCH("ESCALATE",P6))),"SLA BREACH - ESCALATE",IF(OR(L6="READY AT DESK",P6="READY AT DESK"),"READY FOR COLLECTION",IF(OR(ISNUMBER(SEARCH("WARNING",L6)),ISNUMBER(SEARCH("WARNING",P6))),"WARNING (41-60d)","ON TRACK (&lt;=40d)")))))</f>
        <v/>
      </c>
    </row>
    <row r="7">
      <c r="A7" s="8" t="n">
        <v>46216</v>
      </c>
      <c r="B7" s="9" t="inlineStr">
        <is>
          <t>71004523</t>
        </is>
      </c>
      <c r="C7" s="9" t="inlineStr">
        <is>
          <t>48920114</t>
        </is>
      </c>
      <c r="D7" s="9" t="inlineStr">
        <is>
          <t>DAVIS, OLIVER</t>
        </is>
      </c>
      <c r="E7" s="9" t="inlineStr">
        <is>
          <t>COMBINED (ID + PASSPORT)</t>
        </is>
      </c>
      <c r="F7" s="9" t="inlineStr">
        <is>
          <t>YES</t>
        </is>
      </c>
      <c r="G7" s="9" t="inlineStr">
        <is>
          <t>YES</t>
        </is>
      </c>
      <c r="H7" s="9" t="inlineStr">
        <is>
          <t>o.davis@demo-email.co.uk</t>
        </is>
      </c>
      <c r="I7" s="9">
        <f>IF(A7="","",IF(F7="NO","-",IFERROR(VLOOKUP(B7,'Inbound Diplomatic Pouch'!A:B,2,FALSE),"")))</f>
        <v/>
      </c>
      <c r="J7" s="9">
        <f>IF(A7="","",IF(F7="NO","-",IFERROR(VLOOKUP(B7,'Inbound Diplomatic Pouch'!A:C,3,FALSE),"")))</f>
        <v/>
      </c>
      <c r="K7" s="9">
        <f>IF(A7="","",IF(F7="NO","-",IFERROR(VLOOKUP(B7,'Counter Delivery Batch'!A:B,2,FALSE),"")))</f>
        <v/>
      </c>
      <c r="L7" s="9">
        <f>IF(A7="","",IF(F7="NO","N/A",IF(K7&lt;&gt;"","DELIVERED",IF(I7&lt;&gt;"","READY AT DESK",IF((TODAY()-A7)&gt;60,"ESCALATE (&gt;60d)",IF((TODAY()-A7)&gt;40,"WARNING (41-60d)","ON TRACK (&lt;=40d)"))))))</f>
        <v/>
      </c>
      <c r="M7" s="9">
        <f>IF(A7="","",IF(G7="NO","-",IFERROR(VLOOKUP(B7,'Inbound Diplomatic Pouch'!E:F,2,FALSE),"")))</f>
        <v/>
      </c>
      <c r="N7" s="9">
        <f>IF(A7="","",IF(G7="NO","-",IFERROR(VLOOKUP(B7,'Inbound Diplomatic Pouch'!E:G,3,FALSE),"")))</f>
        <v/>
      </c>
      <c r="O7" s="9">
        <f>IF(A7="","",IF(G7="NO","-",IFERROR(VLOOKUP(B7,'Counter Delivery Batch'!D:E,2,FALSE),"")))</f>
        <v/>
      </c>
      <c r="P7" s="9">
        <f>IF(A7="","",IF(G7="NO","N/A",IF(O7&lt;&gt;"","DELIVERED",IF(M7&lt;&gt;"","READY AT DESK",IF((TODAY()-A7)&gt;60,"ESCALATE (&gt;60d)",IF((TODAY()-A7)&gt;40,"WARNING (41-60d)","ON TRACK (&lt;=40d)"))))))</f>
        <v/>
      </c>
      <c r="Q7" s="9">
        <f>IF(A7="","",IF(AND(OR(F7="NO",L7="DELIVERED"),OR(G7="NO",P7="DELIVERED")),"ARCHIVED / DELIVERED",IF(OR(ISNUMBER(SEARCH("ESCALATE",L7)),ISNUMBER(SEARCH("ESCALATE",P7))),"SLA BREACH - ESCALATE",IF(OR(L7="READY AT DESK",P7="READY AT DESK"),"READY FOR COLLECTION",IF(OR(ISNUMBER(SEARCH("WARNING",L7)),ISNUMBER(SEARCH("WARNING",P7))),"WARNING (41-60d)","ON TRACK (&lt;=40d)")))))</f>
        <v/>
      </c>
    </row>
    <row r="8">
      <c r="A8" s="8" t="n">
        <v>46249</v>
      </c>
      <c r="B8" s="9" t="inlineStr">
        <is>
          <t>71004524</t>
        </is>
      </c>
      <c r="C8" s="9" t="inlineStr">
        <is>
          <t>19482019</t>
        </is>
      </c>
      <c r="D8" s="9" t="inlineStr">
        <is>
          <t>WILSON, SOPHIA</t>
        </is>
      </c>
      <c r="E8" s="9" t="inlineStr">
        <is>
          <t>ADULT PASSPORT RENEWAL</t>
        </is>
      </c>
      <c r="F8" s="9" t="inlineStr">
        <is>
          <t>NO</t>
        </is>
      </c>
      <c r="G8" s="9" t="inlineStr">
        <is>
          <t>YES</t>
        </is>
      </c>
      <c r="H8" s="9" t="inlineStr">
        <is>
          <t>s.wilson@demo-email.co.uk</t>
        </is>
      </c>
      <c r="I8" s="9">
        <f>IF(A8="","",IF(F8="NO","-",IFERROR(VLOOKUP(B8,'Inbound Diplomatic Pouch'!A:B,2,FALSE),"")))</f>
        <v/>
      </c>
      <c r="J8" s="9">
        <f>IF(A8="","",IF(F8="NO","-",IFERROR(VLOOKUP(B8,'Inbound Diplomatic Pouch'!A:C,3,FALSE),"")))</f>
        <v/>
      </c>
      <c r="K8" s="9">
        <f>IF(A8="","",IF(F8="NO","-",IFERROR(VLOOKUP(B8,'Counter Delivery Batch'!A:B,2,FALSE),"")))</f>
        <v/>
      </c>
      <c r="L8" s="9">
        <f>IF(A8="","",IF(F8="NO","N/A",IF(K8&lt;&gt;"","DELIVERED",IF(I8&lt;&gt;"","READY AT DESK",IF((TODAY()-A8)&gt;60,"ESCALATE (&gt;60d)",IF((TODAY()-A8)&gt;40,"WARNING (41-60d)","ON TRACK (&lt;=40d)"))))))</f>
        <v/>
      </c>
      <c r="M8" s="9">
        <f>IF(A8="","",IF(G8="NO","-",IFERROR(VLOOKUP(B8,'Inbound Diplomatic Pouch'!E:F,2,FALSE),"")))</f>
        <v/>
      </c>
      <c r="N8" s="9">
        <f>IF(A8="","",IF(G8="NO","-",IFERROR(VLOOKUP(B8,'Inbound Diplomatic Pouch'!E:G,3,FALSE),"")))</f>
        <v/>
      </c>
      <c r="O8" s="9">
        <f>IF(A8="","",IF(G8="NO","-",IFERROR(VLOOKUP(B8,'Counter Delivery Batch'!D:E,2,FALSE),"")))</f>
        <v/>
      </c>
      <c r="P8" s="9">
        <f>IF(A8="","",IF(G8="NO","N/A",IF(O8&lt;&gt;"","DELIVERED",IF(M8&lt;&gt;"","READY AT DESK",IF((TODAY()-A8)&gt;60,"ESCALATE (&gt;60d)",IF((TODAY()-A8)&gt;40,"WARNING (41-60d)","ON TRACK (&lt;=40d)"))))))</f>
        <v/>
      </c>
      <c r="Q8" s="9">
        <f>IF(A8="","",IF(AND(OR(F8="NO",L8="DELIVERED"),OR(G8="NO",P8="DELIVERED")),"ARCHIVED / DELIVERED",IF(OR(ISNUMBER(SEARCH("ESCALATE",L8)),ISNUMBER(SEARCH("ESCALATE",P8))),"SLA BREACH - ESCALATE",IF(OR(L8="READY AT DESK",P8="READY AT DESK"),"READY FOR COLLECTION",IF(OR(ISNUMBER(SEARCH("WARNING",L8)),ISNUMBER(SEARCH("WARNING",P8))),"WARNING (41-60d)","ON TRACK (&lt;=40d)")))))</f>
        <v/>
      </c>
    </row>
    <row r="9">
      <c r="A9" s="8" t="n">
        <v>46256</v>
      </c>
      <c r="B9" s="9" t="inlineStr">
        <is>
          <t>71004525</t>
        </is>
      </c>
      <c r="C9" s="9" t="inlineStr">
        <is>
          <t>28491023</t>
        </is>
      </c>
      <c r="D9" s="9" t="inlineStr">
        <is>
          <t>TAYLOR, JAMES</t>
        </is>
      </c>
      <c r="E9" s="9" t="inlineStr">
        <is>
          <t>NATIONAL ID CARD RENEWAL</t>
        </is>
      </c>
      <c r="F9" s="9" t="inlineStr">
        <is>
          <t>YES</t>
        </is>
      </c>
      <c r="G9" s="9" t="inlineStr">
        <is>
          <t>NO</t>
        </is>
      </c>
      <c r="H9" s="9" t="inlineStr">
        <is>
          <t>j.taylor@demo-email.co.uk</t>
        </is>
      </c>
      <c r="I9" s="9">
        <f>IF(A9="","",IF(F9="NO","-",IFERROR(VLOOKUP(B9,'Inbound Diplomatic Pouch'!A:B,2,FALSE),"")))</f>
        <v/>
      </c>
      <c r="J9" s="9">
        <f>IF(A9="","",IF(F9="NO","-",IFERROR(VLOOKUP(B9,'Inbound Diplomatic Pouch'!A:C,3,FALSE),"")))</f>
        <v/>
      </c>
      <c r="K9" s="9">
        <f>IF(A9="","",IF(F9="NO","-",IFERROR(VLOOKUP(B9,'Counter Delivery Batch'!A:B,2,FALSE),"")))</f>
        <v/>
      </c>
      <c r="L9" s="9">
        <f>IF(A9="","",IF(F9="NO","N/A",IF(K9&lt;&gt;"","DELIVERED",IF(I9&lt;&gt;"","READY AT DESK",IF((TODAY()-A9)&gt;60,"ESCALATE (&gt;60d)",IF((TODAY()-A9)&gt;40,"WARNING (41-60d)","ON TRACK (&lt;=40d)"))))))</f>
        <v/>
      </c>
      <c r="M9" s="9">
        <f>IF(A9="","",IF(G9="NO","-",IFERROR(VLOOKUP(B9,'Inbound Diplomatic Pouch'!E:F,2,FALSE),"")))</f>
        <v/>
      </c>
      <c r="N9" s="9">
        <f>IF(A9="","",IF(G9="NO","-",IFERROR(VLOOKUP(B9,'Inbound Diplomatic Pouch'!E:G,3,FALSE),"")))</f>
        <v/>
      </c>
      <c r="O9" s="9">
        <f>IF(A9="","",IF(G9="NO","-",IFERROR(VLOOKUP(B9,'Counter Delivery Batch'!D:E,2,FALSE),"")))</f>
        <v/>
      </c>
      <c r="P9" s="9">
        <f>IF(A9="","",IF(G9="NO","N/A",IF(O9&lt;&gt;"","DELIVERED",IF(M9&lt;&gt;"","READY AT DESK",IF((TODAY()-A9)&gt;60,"ESCALATE (&gt;60d)",IF((TODAY()-A9)&gt;40,"WARNING (41-60d)","ON TRACK (&lt;=40d)"))))))</f>
        <v/>
      </c>
      <c r="Q9" s="9">
        <f>IF(A9="","",IF(AND(OR(F9="NO",L9="DELIVERED"),OR(G9="NO",P9="DELIVERED")),"ARCHIVED / DELIVERED",IF(OR(ISNUMBER(SEARCH("ESCALATE",L9)),ISNUMBER(SEARCH("ESCALATE",P9))),"SLA BREACH - ESCALATE",IF(OR(L9="READY AT DESK",P9="READY AT DESK"),"READY FOR COLLECTION",IF(OR(ISNUMBER(SEARCH("WARNING",L9)),ISNUMBER(SEARCH("WARNING",P9))),"WARNING (41-60d)","ON TRACK (&lt;=40d)")))))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15" customWidth="1" min="2" max="2"/>
    <col width="21" customWidth="1" min="3" max="3"/>
    <col width="12" customWidth="1" min="4" max="4"/>
    <col width="19" customWidth="1" min="5" max="5"/>
    <col width="15" customWidth="1" min="6" max="6"/>
    <col width="21" customWidth="1" min="7" max="7"/>
  </cols>
  <sheetData>
    <row r="1">
      <c r="A1" s="10" t="inlineStr">
        <is>
          <t>INBOUND DIPLOMATIC POUCH (BATCH SCANNING INTAKE)</t>
        </is>
      </c>
    </row>
    <row r="2"/>
    <row r="3"/>
    <row r="4">
      <c r="A4" s="3" t="inlineStr">
        <is>
          <t>ID Case ID</t>
        </is>
      </c>
      <c r="B4" s="3" t="inlineStr">
        <is>
          <t>Receipt Date</t>
        </is>
      </c>
      <c r="C4" s="3" t="inlineStr">
        <is>
          <t>Pouch Dispatch Ref</t>
        </is>
      </c>
      <c r="E4" s="3" t="inlineStr">
        <is>
          <t>Passport Case ID</t>
        </is>
      </c>
      <c r="F4" s="3" t="inlineStr">
        <is>
          <t>Receipt Date</t>
        </is>
      </c>
      <c r="G4" s="3" t="inlineStr">
        <is>
          <t>Pouch Dispatch Ref</t>
        </is>
      </c>
    </row>
    <row r="5">
      <c r="A5" t="inlineStr">
        <is>
          <t>71004525</t>
        </is>
      </c>
      <c r="B5" s="11" t="n">
        <v>46282</v>
      </c>
      <c r="C5" t="inlineStr">
        <is>
          <t>POUCH-UK-2026/08</t>
        </is>
      </c>
      <c r="E5" t="inlineStr">
        <is>
          <t>71004524</t>
        </is>
      </c>
      <c r="F5" s="11" t="n">
        <v>46274</v>
      </c>
      <c r="G5" t="inlineStr">
        <is>
          <t>POUCH-UK-2026/07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2" customWidth="1" min="3" max="3"/>
    <col width="24" customWidth="1" min="4" max="4"/>
    <col width="16" customWidth="1" min="5" max="5"/>
  </cols>
  <sheetData>
    <row r="1">
      <c r="A1" s="10" t="inlineStr">
        <is>
          <t>COUNTER HANDOVER BATCH (PHYSICAL SLIP SCANNING)</t>
        </is>
      </c>
    </row>
    <row r="2"/>
    <row r="3"/>
    <row r="4">
      <c r="A4" s="3" t="inlineStr">
        <is>
          <t>ID Slip Case ID</t>
        </is>
      </c>
      <c r="B4" s="3" t="inlineStr">
        <is>
          <t>Handover Date</t>
        </is>
      </c>
      <c r="D4" s="3" t="inlineStr">
        <is>
          <t>Passport Slip Case ID</t>
        </is>
      </c>
      <c r="E4" s="3" t="inlineStr">
        <is>
          <t>Handover Date</t>
        </is>
      </c>
    </row>
    <row r="5">
      <c r="D5" t="inlineStr">
        <is>
          <t>71004524</t>
        </is>
      </c>
      <c r="E5" s="11" t="n">
        <v>46282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2026-09-19T11:11:01Z</dcterms:created>
  <dcterms:modified xmlns:dcterms="http://purl.org/dc/terms/" xmlns:xsi="http://www.w3.org/2001/XMLSchema-instance" xsi:type="dcterms:W3CDTF">2026-09-19T11:11:01Z</dcterms:modified>
</cp:coreProperties>
</file>